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xr:revisionPtr revIDLastSave="0" documentId="8_{84833DF6-FB41-4BF7-9507-B39B48C3013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aw Data" sheetId="1" r:id="rId1"/>
    <sheet name="Analysis" sheetId="2" r:id="rId2"/>
    <sheet name="Executive Summary" sheetId="3" r:id="rId3"/>
  </sheets>
  <calcPr calcId="191028"/>
  <pivotCaches>
    <pivotCache cacheId="9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<sst xmlns="http://schemas.openxmlformats.org/spreadsheetml/2006/main" count="85" uniqueCount="58">
  <si>
    <t>title</t>
  </si>
  <si>
    <t>year</t>
  </si>
  <si>
    <t>origin_type</t>
  </si>
  <si>
    <t>creator</t>
  </si>
  <si>
    <t>subgenre</t>
  </si>
  <si>
    <t>budget_usd</t>
  </si>
  <si>
    <t>box_office_gross_usd</t>
  </si>
  <si>
    <t>youtube_presence</t>
  </si>
  <si>
    <t>ROI</t>
  </si>
  <si>
    <t>The Backrooms</t>
  </si>
  <si>
    <t>YouTube-origin</t>
  </si>
  <si>
    <t>Kane Parsons</t>
  </si>
  <si>
    <t>liminal horror</t>
  </si>
  <si>
    <t>yes</t>
  </si>
  <si>
    <t>Obsession</t>
  </si>
  <si>
    <t>Curry Barker</t>
  </si>
  <si>
    <t>psychological horror</t>
  </si>
  <si>
    <t>Iron Lung</t>
  </si>
  <si>
    <t>Markiplier</t>
  </si>
  <si>
    <t>sci-fi horror</t>
  </si>
  <si>
    <t>Host</t>
  </si>
  <si>
    <t>Rob Savage</t>
  </si>
  <si>
    <t>found footage</t>
  </si>
  <si>
    <t>Lights Out</t>
  </si>
  <si>
    <t>David F. Sandberg</t>
  </si>
  <si>
    <t>short horror</t>
  </si>
  <si>
    <t>Skinamarink</t>
  </si>
  <si>
    <t>Indie studio</t>
  </si>
  <si>
    <t>Kyle Edward Ball</t>
  </si>
  <si>
    <t>experimental horror</t>
  </si>
  <si>
    <t>Talk to Me</t>
  </si>
  <si>
    <t>RackaRacka</t>
  </si>
  <si>
    <t>possession horror</t>
  </si>
  <si>
    <t>Smile</t>
  </si>
  <si>
    <t>Studio-backed indie</t>
  </si>
  <si>
    <t>Parker Finn</t>
  </si>
  <si>
    <t>no</t>
  </si>
  <si>
    <t>Hell House LLC</t>
  </si>
  <si>
    <t>Stephen Cognetti</t>
  </si>
  <si>
    <t>V/H/S</t>
  </si>
  <si>
    <t>Indie anthology</t>
  </si>
  <si>
    <t>Various</t>
  </si>
  <si>
    <t>anthology horror</t>
  </si>
  <si>
    <t>Paranormal Activity</t>
  </si>
  <si>
    <t>Traditional indie</t>
  </si>
  <si>
    <t>Oren Peli</t>
  </si>
  <si>
    <t>The Blair Witch Project</t>
  </si>
  <si>
    <t>Daniel Myrick</t>
  </si>
  <si>
    <t>Average of ROI</t>
  </si>
  <si>
    <t>Grand Total</t>
  </si>
  <si>
    <t>Project Objective</t>
  </si>
  <si>
    <t>Analyze the return on investment (ROI) of horror films by origin type, with a focus on evaluating whether YouTube-origin properties perform differently compared to traditional and indie horror film categories.</t>
  </si>
  <si>
    <t>Key Findings</t>
  </si>
  <si>
    <t>Traditional indie horror films produced the highest average ROI in the dataset, driven by extreme breakout successes such as Paranormal Activity and The Blair Witch Project.</t>
  </si>
  <si>
    <t>YouTube-origin horror films demonstrated strong commercial performance, with an average ROI of 36,217%, though results were heavily influenced by a small number of high-performing titles.</t>
  </si>
  <si>
    <t>Median ROI analysis shows that category averages are distorted by outliers. For YouTube-origin films, the median ROI (4,900%) is significantly lower than the mean (36,217%), indicating that typical performance is more moderate than averages suggest.</t>
  </si>
  <si>
    <t>Low-budget horror films consistently generated high ROI across all categories, reinforcing the genre’s reputation as a high-return, low-cost film segment.</t>
  </si>
  <si>
    <t>Digital-first intellectual property, particularly YouTube-origin content, demonstrates viable potential for adaptation into commercially successful feature films.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</si>
</sst>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rgb="FF4472C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[youtube_to_hollywood_horror_pipeline.xlsx]Analysis!PivotTable1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Analysis!$A$3:$A$8</c:f>
              <c:strCache>
                <c:ptCount val="5"/>
                <c:pt idx="0">
                  <c:v>Indie anthology</c:v>
                </c:pt>
                <c:pt idx="1">
                  <c:v>Indie studio</c:v>
                </c:pt>
                <c:pt idx="2">
                  <c:v>Studio-backed indie</c:v>
                </c:pt>
                <c:pt idx="3">
                  <c:v>Traditional indie</c:v>
                </c:pt>
                <c:pt idx="4">
                  <c:v>YouTube-origin</c:v>
                </c:pt>
              </c:strCache>
            </c:strRef>
          </c:cat>
          <c:val>
            <c:numRef>
              <c:f>Analysis!$B$3:$B$8</c:f>
              <c:numCache>
                <c:formatCode>0%</c:formatCode>
                <c:ptCount val="5"/>
                <c:pt idx="0">
                  <c:v>9</c:v>
                </c:pt>
                <c:pt idx="1">
                  <c:v>60.185185185185183</c:v>
                </c:pt>
                <c:pt idx="2">
                  <c:v>11.764705882352942</c:v>
                </c:pt>
                <c:pt idx="3">
                  <c:v>8499</c:v>
                </c:pt>
                <c:pt idx="4">
                  <c:v>362.16666666666663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7-4EAD-AD71-8FA3BF0FB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932935"/>
        <c:axId val="1084471816"/>
      </c:barChart>
      <c:catAx>
        <c:axId val="147193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1816"/>
        <c:crosses val="autoZero"/>
        <c:auto val="1"/>
        <c:lblAlgn val="ctr"/>
        <c:lblOffset val="100"/>
        <c:noMultiLvlLbl val="0"/>
      </c:catAx>
      <c:valAx>
        <c:axId val="10844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3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171450</xdr:rowOff>
    </xdr:from>
    <xdr:to>
      <xdr:col>11</xdr:col>
      <xdr:colOff>295275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4D418-1939-C278-9D61-419F62116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968231712963" createdVersion="8" refreshedVersion="8" minRefreshableVersion="3" recordCount="12" xr:uid="{E81731F4-1F5A-4786-9CAD-81BD52C15F46}">
  <cacheSource type="worksheet">
    <worksheetSource ref="A1:I13" sheet="Raw Data"/>
  </cacheSource>
  <cacheFields count="9">
    <cacheField name="title" numFmtId="0">
      <sharedItems/>
    </cacheField>
    <cacheField name="year" numFmtId="0">
      <sharedItems containsSemiMixedTypes="0" containsString="0" containsNumber="1" containsInteger="1" minValue="1999" maxValue="2026"/>
    </cacheField>
    <cacheField name="origin_type" numFmtId="0">
      <sharedItems count="5">
        <s v="YouTube-origin"/>
        <s v="Indie studio"/>
        <s v="Studio-backed indie"/>
        <s v="Indie anthology"/>
        <s v="Traditional indie"/>
      </sharedItems>
    </cacheField>
    <cacheField name="creator" numFmtId="0">
      <sharedItems/>
    </cacheField>
    <cacheField name="subgenre" numFmtId="0">
      <sharedItems/>
    </cacheField>
    <cacheField name="budget_usd" numFmtId="0">
      <sharedItems containsSemiMixedTypes="0" containsString="0" containsNumber="1" containsInteger="1" minValue="15000" maxValue="17000000"/>
    </cacheField>
    <cacheField name="box_office_gross_usd" numFmtId="0">
      <sharedItems containsSemiMixedTypes="0" containsString="0" containsNumber="1" containsInteger="1" minValue="1000000" maxValue="248000000"/>
    </cacheField>
    <cacheField name="youtube_presence" numFmtId="0">
      <sharedItems/>
    </cacheField>
    <cacheField name="ROI" numFmtId="9">
      <sharedItems containsSemiMixedTypes="0" containsString="0" containsNumber="1" minValue="3.1666666666666665" maxValue="12865.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The Backrooms"/>
    <n v="2026"/>
    <x v="0"/>
    <s v="Kane Parsons"/>
    <s v="liminal horror"/>
    <n v="1500000"/>
    <n v="80000000"/>
    <s v="yes"/>
    <n v="52.333333333333336"/>
  </r>
  <r>
    <s v="Obsession"/>
    <n v="2026"/>
    <x v="0"/>
    <s v="Curry Barker"/>
    <s v="psychological horror"/>
    <n v="50000"/>
    <n v="2500000"/>
    <s v="yes"/>
    <n v="49"/>
  </r>
  <r>
    <s v="Iron Lung"/>
    <n v="2023"/>
    <x v="0"/>
    <s v="Markiplier"/>
    <s v="sci-fi horror"/>
    <n v="1200000"/>
    <n v="5000000"/>
    <s v="yes"/>
    <n v="3.1666666666666665"/>
  </r>
  <r>
    <s v="Host"/>
    <n v="2020"/>
    <x v="0"/>
    <s v="Rob Savage"/>
    <s v="found footage"/>
    <n v="30000"/>
    <n v="1000000"/>
    <s v="yes"/>
    <n v="32.333333333333336"/>
  </r>
  <r>
    <s v="Lights Out"/>
    <n v="2016"/>
    <x v="0"/>
    <s v="David F. Sandberg"/>
    <s v="short horror"/>
    <n v="40000"/>
    <n v="67000000"/>
    <s v="yes"/>
    <n v="1674"/>
  </r>
  <r>
    <s v="Skinamarink"/>
    <n v="2023"/>
    <x v="1"/>
    <s v="Kyle Edward Ball"/>
    <s v="experimental horror"/>
    <n v="150000"/>
    <n v="2000000"/>
    <s v="yes"/>
    <n v="12.333333333333334"/>
  </r>
  <r>
    <s v="Talk to Me"/>
    <n v="2023"/>
    <x v="1"/>
    <s v="RackaRacka"/>
    <s v="possession horror"/>
    <n v="4500000"/>
    <n v="46000000"/>
    <s v="yes"/>
    <n v="9.2222222222222214"/>
  </r>
  <r>
    <s v="Smile"/>
    <n v="2022"/>
    <x v="2"/>
    <s v="Parker Finn"/>
    <s v="psychological horror"/>
    <n v="17000000"/>
    <n v="217000000"/>
    <s v="no"/>
    <n v="11.764705882352942"/>
  </r>
  <r>
    <s v="Hell House LLC"/>
    <n v="2015"/>
    <x v="1"/>
    <s v="Stephen Cognetti"/>
    <s v="found footage"/>
    <n v="150000"/>
    <n v="24000000"/>
    <s v="no"/>
    <n v="159"/>
  </r>
  <r>
    <s v="V/H/S"/>
    <n v="2012"/>
    <x v="3"/>
    <s v="Various"/>
    <s v="anthology horror"/>
    <n v="1000000"/>
    <n v="10000000"/>
    <s v="no"/>
    <n v="9"/>
  </r>
  <r>
    <s v="Paranormal Activity"/>
    <n v="2009"/>
    <x v="4"/>
    <s v="Oren Peli"/>
    <s v="found footage"/>
    <n v="15000"/>
    <n v="193000000"/>
    <s v="no"/>
    <n v="12865.666666666666"/>
  </r>
  <r>
    <s v="The Blair Witch Project"/>
    <n v="1999"/>
    <x v="4"/>
    <s v="Daniel Myrick"/>
    <s v="found footage"/>
    <n v="60000"/>
    <n v="248000000"/>
    <s v="no"/>
    <n v="4132.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57A0B-24D1-4F52-B572-9CB9157594E7}" name="PivotTable1" cacheId="9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9"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" fld="8" subtotal="average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J13" sqref="J13"/>
    </sheetView>
  </sheetViews>
  <sheetFormatPr defaultRowHeight="15"/>
  <cols>
    <col min="1" max="1" width="21.5703125" bestFit="1" customWidth="1"/>
    <col min="2" max="2" width="5.42578125" bestFit="1" customWidth="1"/>
    <col min="3" max="3" width="18.7109375" bestFit="1" customWidth="1"/>
    <col min="4" max="4" width="16.85546875" bestFit="1" customWidth="1"/>
    <col min="5" max="5" width="19.140625" bestFit="1" customWidth="1"/>
    <col min="6" max="6" width="11.42578125" bestFit="1" customWidth="1"/>
    <col min="7" max="7" width="20.42578125" bestFit="1" customWidth="1"/>
    <col min="8" max="8" width="17.7109375" bestFit="1" customWidth="1"/>
    <col min="9" max="9" width="10.28515625" style="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 t="s">
        <v>9</v>
      </c>
      <c r="B2">
        <v>2026</v>
      </c>
      <c r="C2" t="s">
        <v>10</v>
      </c>
      <c r="D2" t="s">
        <v>11</v>
      </c>
      <c r="E2" t="s">
        <v>12</v>
      </c>
      <c r="F2">
        <v>1500000</v>
      </c>
      <c r="G2">
        <v>80000000</v>
      </c>
      <c r="H2" t="s">
        <v>13</v>
      </c>
      <c r="I2" s="1">
        <f>(G2-F2)/F2</f>
        <v>52.333333333333336</v>
      </c>
    </row>
    <row r="3" spans="1:9">
      <c r="A3" t="s">
        <v>14</v>
      </c>
      <c r="B3">
        <v>2026</v>
      </c>
      <c r="C3" t="s">
        <v>10</v>
      </c>
      <c r="D3" t="s">
        <v>15</v>
      </c>
      <c r="E3" t="s">
        <v>16</v>
      </c>
      <c r="F3">
        <v>50000</v>
      </c>
      <c r="G3">
        <v>2500000</v>
      </c>
      <c r="H3" t="s">
        <v>13</v>
      </c>
      <c r="I3" s="1">
        <f>(G3-F3)/F3</f>
        <v>49</v>
      </c>
    </row>
    <row r="4" spans="1:9">
      <c r="A4" t="s">
        <v>17</v>
      </c>
      <c r="B4">
        <v>2023</v>
      </c>
      <c r="C4" t="s">
        <v>10</v>
      </c>
      <c r="D4" t="s">
        <v>18</v>
      </c>
      <c r="E4" t="s">
        <v>19</v>
      </c>
      <c r="F4">
        <v>1200000</v>
      </c>
      <c r="G4">
        <v>5000000</v>
      </c>
      <c r="H4" t="s">
        <v>13</v>
      </c>
      <c r="I4" s="1">
        <f t="shared" ref="I3:I13" si="0">(G4-F4)/F4</f>
        <v>3.1666666666666665</v>
      </c>
    </row>
    <row r="5" spans="1:9">
      <c r="A5" t="s">
        <v>20</v>
      </c>
      <c r="B5">
        <v>2020</v>
      </c>
      <c r="C5" t="s">
        <v>10</v>
      </c>
      <c r="D5" t="s">
        <v>21</v>
      </c>
      <c r="E5" t="s">
        <v>22</v>
      </c>
      <c r="F5">
        <v>30000</v>
      </c>
      <c r="G5">
        <v>1000000</v>
      </c>
      <c r="H5" t="s">
        <v>13</v>
      </c>
      <c r="I5" s="1">
        <f t="shared" si="0"/>
        <v>32.333333333333336</v>
      </c>
    </row>
    <row r="6" spans="1:9">
      <c r="A6" t="s">
        <v>23</v>
      </c>
      <c r="B6">
        <v>2016</v>
      </c>
      <c r="C6" t="s">
        <v>10</v>
      </c>
      <c r="D6" t="s">
        <v>24</v>
      </c>
      <c r="E6" t="s">
        <v>25</v>
      </c>
      <c r="F6">
        <v>40000</v>
      </c>
      <c r="G6">
        <v>67000000</v>
      </c>
      <c r="H6" t="s">
        <v>13</v>
      </c>
      <c r="I6" s="1">
        <f t="shared" si="0"/>
        <v>1674</v>
      </c>
    </row>
    <row r="7" spans="1:9">
      <c r="A7" t="s">
        <v>26</v>
      </c>
      <c r="B7">
        <v>2023</v>
      </c>
      <c r="C7" t="s">
        <v>27</v>
      </c>
      <c r="D7" t="s">
        <v>28</v>
      </c>
      <c r="E7" t="s">
        <v>29</v>
      </c>
      <c r="F7">
        <v>150000</v>
      </c>
      <c r="G7">
        <v>2000000</v>
      </c>
      <c r="H7" t="s">
        <v>13</v>
      </c>
      <c r="I7" s="1">
        <f t="shared" si="0"/>
        <v>12.333333333333334</v>
      </c>
    </row>
    <row r="8" spans="1:9">
      <c r="A8" t="s">
        <v>30</v>
      </c>
      <c r="B8">
        <v>2023</v>
      </c>
      <c r="C8" t="s">
        <v>27</v>
      </c>
      <c r="D8" t="s">
        <v>31</v>
      </c>
      <c r="E8" t="s">
        <v>32</v>
      </c>
      <c r="F8">
        <v>4500000</v>
      </c>
      <c r="G8">
        <v>46000000</v>
      </c>
      <c r="H8" t="s">
        <v>13</v>
      </c>
      <c r="I8" s="1">
        <f t="shared" si="0"/>
        <v>9.2222222222222214</v>
      </c>
    </row>
    <row r="9" spans="1:9">
      <c r="A9" t="s">
        <v>33</v>
      </c>
      <c r="B9">
        <v>2022</v>
      </c>
      <c r="C9" t="s">
        <v>34</v>
      </c>
      <c r="D9" t="s">
        <v>35</v>
      </c>
      <c r="E9" t="s">
        <v>16</v>
      </c>
      <c r="F9">
        <v>17000000</v>
      </c>
      <c r="G9">
        <v>217000000</v>
      </c>
      <c r="H9" t="s">
        <v>36</v>
      </c>
      <c r="I9" s="1">
        <f t="shared" si="0"/>
        <v>11.764705882352942</v>
      </c>
    </row>
    <row r="10" spans="1:9">
      <c r="A10" t="s">
        <v>37</v>
      </c>
      <c r="B10">
        <v>2015</v>
      </c>
      <c r="C10" t="s">
        <v>27</v>
      </c>
      <c r="D10" t="s">
        <v>38</v>
      </c>
      <c r="E10" t="s">
        <v>22</v>
      </c>
      <c r="F10">
        <v>150000</v>
      </c>
      <c r="G10">
        <v>24000000</v>
      </c>
      <c r="H10" t="s">
        <v>36</v>
      </c>
      <c r="I10" s="1">
        <f t="shared" si="0"/>
        <v>159</v>
      </c>
    </row>
    <row r="11" spans="1:9">
      <c r="A11" t="s">
        <v>39</v>
      </c>
      <c r="B11">
        <v>2012</v>
      </c>
      <c r="C11" t="s">
        <v>40</v>
      </c>
      <c r="D11" t="s">
        <v>41</v>
      </c>
      <c r="E11" t="s">
        <v>42</v>
      </c>
      <c r="F11">
        <v>1000000</v>
      </c>
      <c r="G11">
        <v>10000000</v>
      </c>
      <c r="H11" t="s">
        <v>36</v>
      </c>
      <c r="I11" s="1">
        <f t="shared" si="0"/>
        <v>9</v>
      </c>
    </row>
    <row r="12" spans="1:9">
      <c r="A12" t="s">
        <v>43</v>
      </c>
      <c r="B12">
        <v>2009</v>
      </c>
      <c r="C12" t="s">
        <v>44</v>
      </c>
      <c r="D12" t="s">
        <v>45</v>
      </c>
      <c r="E12" t="s">
        <v>22</v>
      </c>
      <c r="F12">
        <v>15000</v>
      </c>
      <c r="G12">
        <v>193000000</v>
      </c>
      <c r="H12" t="s">
        <v>36</v>
      </c>
      <c r="I12" s="1">
        <f t="shared" si="0"/>
        <v>12865.666666666666</v>
      </c>
    </row>
    <row r="13" spans="1:9">
      <c r="A13" t="s">
        <v>46</v>
      </c>
      <c r="B13">
        <v>1999</v>
      </c>
      <c r="C13" t="s">
        <v>44</v>
      </c>
      <c r="D13" t="s">
        <v>47</v>
      </c>
      <c r="E13" t="s">
        <v>22</v>
      </c>
      <c r="F13">
        <v>60000</v>
      </c>
      <c r="G13">
        <v>248000000</v>
      </c>
      <c r="H13" t="s">
        <v>36</v>
      </c>
      <c r="I13" s="1">
        <f t="shared" si="0"/>
        <v>4132.333333333333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558E-BC4C-400B-B62E-DF6CA9B3B2F3}">
  <dimension ref="A2:B8"/>
  <sheetViews>
    <sheetView workbookViewId="0">
      <selection activeCell="D8" sqref="D8"/>
    </sheetView>
  </sheetViews>
  <sheetFormatPr defaultRowHeight="15"/>
  <cols>
    <col min="1" max="1" width="18.7109375" bestFit="1" customWidth="1"/>
    <col min="2" max="2" width="14.5703125" bestFit="1" customWidth="1"/>
  </cols>
  <sheetData>
    <row r="2" spans="1:2">
      <c r="A2" s="2" t="s">
        <v>2</v>
      </c>
      <c r="B2" t="s">
        <v>48</v>
      </c>
    </row>
    <row r="3" spans="1:2">
      <c r="A3" t="s">
        <v>40</v>
      </c>
      <c r="B3" s="1">
        <v>9</v>
      </c>
    </row>
    <row r="4" spans="1:2">
      <c r="A4" t="s">
        <v>27</v>
      </c>
      <c r="B4" s="1">
        <v>60.185185185185183</v>
      </c>
    </row>
    <row r="5" spans="1:2">
      <c r="A5" t="s">
        <v>34</v>
      </c>
      <c r="B5" s="1">
        <v>11.764705882352942</v>
      </c>
    </row>
    <row r="6" spans="1:2">
      <c r="A6" t="s">
        <v>44</v>
      </c>
      <c r="B6" s="1">
        <v>8499</v>
      </c>
    </row>
    <row r="7" spans="1:2">
      <c r="A7" t="s">
        <v>10</v>
      </c>
      <c r="B7" s="1">
        <v>362.16666666666663</v>
      </c>
    </row>
    <row r="8" spans="1:2">
      <c r="A8" t="s">
        <v>49</v>
      </c>
      <c r="B8" s="1">
        <v>1584.1794662309367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2928-5ECE-41A7-AE53-E21E9949DC38}">
  <dimension ref="A1:A22"/>
  <sheetViews>
    <sheetView tabSelected="1" topLeftCell="A20" workbookViewId="0">
      <selection activeCell="A22" sqref="A22"/>
    </sheetView>
  </sheetViews>
  <sheetFormatPr defaultRowHeight="15"/>
  <cols>
    <col min="1" max="1" width="21.7109375" customWidth="1"/>
  </cols>
  <sheetData>
    <row r="1" spans="1:1" ht="18.75">
      <c r="A1" s="3" t="s">
        <v>50</v>
      </c>
    </row>
    <row r="3" spans="1:1" s="4" customFormat="1" ht="167.25">
      <c r="A3" s="4" t="s">
        <v>51</v>
      </c>
    </row>
    <row r="12" spans="1:1" ht="18.75">
      <c r="A12" s="3" t="s">
        <v>52</v>
      </c>
    </row>
    <row r="14" spans="1:1" s="4" customFormat="1" ht="137.25">
      <c r="A14" s="4" t="s">
        <v>53</v>
      </c>
    </row>
    <row r="16" spans="1:1" s="4" customFormat="1" ht="152.25">
      <c r="A16" s="4" t="s">
        <v>54</v>
      </c>
    </row>
    <row r="18" spans="1:1" s="4" customFormat="1" ht="213">
      <c r="A18" s="4" t="s">
        <v>55</v>
      </c>
    </row>
    <row r="20" spans="1:1" s="4" customFormat="1" ht="121.5">
      <c r="A20" s="4" t="s">
        <v>56</v>
      </c>
    </row>
    <row r="22" spans="1:1" s="5" customFormat="1" ht="106.5">
      <c r="A22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2026-05-29T04:50:45Z</dcterms:created>
  <dcterms:modified xsi:type="dcterms:W3CDTF">2026-05-30T02:32:47Z</dcterms:modified>
  <cp:category/>
  <cp:contentStatus/>
</cp:coreProperties>
</file>